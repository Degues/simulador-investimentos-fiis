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BBA49FA0-7164-4350-92FB-E72E1D7D2D2C}" xr6:coauthVersionLast="47" xr6:coauthVersionMax="47" xr10:uidLastSave="{00000000-0000-0000-0000-000000000000}"/>
  <bookViews>
    <workbookView xWindow="0" yWindow="3420" windowWidth="28800" windowHeight="11505" xr2:uid="{FF8A7E76-53B7-49CB-B21D-D0DEA07E9050}"/>
  </bookViews>
  <sheets>
    <sheet name="Planilha1" sheetId="1" r:id="rId1"/>
    <sheet name="Planilha2" sheetId="2" r:id="rId2"/>
  </sheets>
  <definedNames>
    <definedName name="aporte">Planilha1!$D$19</definedName>
    <definedName name="patrimonio">Planilha1!$D$22</definedName>
    <definedName name="qtd_anos">Planilha1!$D$20</definedName>
    <definedName name="rendimento_carteira">Planilha1!$D$14</definedName>
    <definedName name="salario">Planilha1!$D$13</definedName>
    <definedName name="sugestao_investimento">Planilha1!$D$15</definedName>
    <definedName name="taxa_mensal">Planilha1!$D$21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D38" i="1" s="1"/>
  <c r="J4" i="2"/>
  <c r="C35" i="1"/>
  <c r="D15" i="1"/>
  <c r="D22" i="1"/>
  <c r="D23" i="1" s="1"/>
  <c r="C28" i="1"/>
  <c r="D28" i="1" s="1"/>
  <c r="C29" i="1"/>
  <c r="D29" i="1" s="1"/>
  <c r="C30" i="1"/>
  <c r="D30" i="1" s="1"/>
  <c r="C31" i="1"/>
  <c r="D31" i="1" s="1"/>
  <c r="C27" i="1"/>
  <c r="D27" i="1" s="1"/>
  <c r="D40" i="1" l="1"/>
  <c r="D39" i="1"/>
  <c r="D42" i="1"/>
  <c r="D43" i="1"/>
  <c r="D41" i="1"/>
  <c r="D44" i="1" l="1"/>
</calcChain>
</file>

<file path=xl/sharedStrings.xml><?xml version="1.0" encoding="utf-8"?>
<sst xmlns="http://schemas.openxmlformats.org/spreadsheetml/2006/main" count="92" uniqueCount="54">
  <si>
    <t>Por quantos anos?</t>
  </si>
  <si>
    <t>Taxa de Rendimento mensal:</t>
  </si>
  <si>
    <t>Dividendos mensais:</t>
  </si>
  <si>
    <t>Patrimônio acumulado:</t>
  </si>
  <si>
    <t>Investimento em 2 anos:</t>
  </si>
  <si>
    <t>Investimento em 5 anos:</t>
  </si>
  <si>
    <t>Investimento em 10 anos:</t>
  </si>
  <si>
    <t>Investimento em 20 anos:</t>
  </si>
  <si>
    <t>Investimento em 30 anos:</t>
  </si>
  <si>
    <t>Dividendo</t>
  </si>
  <si>
    <t>Cenarios</t>
  </si>
  <si>
    <t>Investimento Mensal</t>
  </si>
  <si>
    <t>Configuracoes</t>
  </si>
  <si>
    <t>Salario</t>
  </si>
  <si>
    <t>Rendimento Carteira</t>
  </si>
  <si>
    <t>PERFIL</t>
  </si>
  <si>
    <t>VALOR A SER INVESTIDO POR MES</t>
  </si>
  <si>
    <t>Papel</t>
  </si>
  <si>
    <t>Tijolo</t>
  </si>
  <si>
    <t>Hibrido</t>
  </si>
  <si>
    <t>FOFs</t>
  </si>
  <si>
    <t>Desenvolvimento</t>
  </si>
  <si>
    <t>Hotelaria</t>
  </si>
  <si>
    <t>TIPO DE FII</t>
  </si>
  <si>
    <t>Percentual Sugerido</t>
  </si>
  <si>
    <t>Valores</t>
  </si>
  <si>
    <t>Conservador</t>
  </si>
  <si>
    <t>Moderado</t>
  </si>
  <si>
    <t>Agressivo</t>
  </si>
  <si>
    <t>Sugestao de Investimento (30%)</t>
  </si>
  <si>
    <t>Ivestimento por mês?</t>
  </si>
  <si>
    <t>CHAVE</t>
  </si>
  <si>
    <t>%</t>
  </si>
  <si>
    <t>Conservador-Papel</t>
  </si>
  <si>
    <t>Moderado-Papel</t>
  </si>
  <si>
    <t>Moderado-Tijolo</t>
  </si>
  <si>
    <t>Moderado-Hibrido</t>
  </si>
  <si>
    <t>Moderado-FOFs</t>
  </si>
  <si>
    <t>Moderado-Desenvolvimento</t>
  </si>
  <si>
    <t>Moderado-Hotelaria</t>
  </si>
  <si>
    <t>Conservador-Tijolo</t>
  </si>
  <si>
    <t>Conservador-Hibrido</t>
  </si>
  <si>
    <t>Conservador-FOFs</t>
  </si>
  <si>
    <t>Conservador-Desenvolvimento</t>
  </si>
  <si>
    <t>Conservador-Hotelaria</t>
  </si>
  <si>
    <t>EXEMPLO PROCV</t>
  </si>
  <si>
    <t>Agressivo-Papel</t>
  </si>
  <si>
    <t>Agressivo-Tijolo</t>
  </si>
  <si>
    <t>Agressivo-Hibrido</t>
  </si>
  <si>
    <t>Agressivo-FOFs</t>
  </si>
  <si>
    <t>Agressivo-Desenvolvimento</t>
  </si>
  <si>
    <t>Agressivo-Hotelaria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</si>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</sst>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0.000%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auto="1"/>
      </left>
      <right style="thin">
        <color theme="2" tint="-0.24994659260841701"/>
      </right>
      <top style="thin">
        <color theme="2" tint="-0.24994659260841701"/>
      </top>
      <bottom style="medium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auto="1"/>
      </bottom>
      <diagonal/>
    </border>
    <border>
      <left style="thin">
        <color theme="2" tint="-0.24994659260841701"/>
      </left>
      <right style="medium">
        <color auto="1"/>
      </right>
      <top style="thin">
        <color theme="2" tint="-0.24994659260841701"/>
      </top>
      <bottom style="medium">
        <color auto="1"/>
      </bottom>
      <diagonal/>
    </border>
    <border>
      <left style="medium">
        <color auto="1"/>
      </left>
      <right style="thin">
        <color theme="9" tint="-0.499984740745262"/>
      </right>
      <top style="medium">
        <color auto="1"/>
      </top>
      <bottom style="thin">
        <color theme="2" tint="-0.24994659260841701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auto="1"/>
      </top>
      <bottom style="thin">
        <color theme="2" tint="-0.24994659260841701"/>
      </bottom>
      <diagonal/>
    </border>
    <border>
      <left style="thin">
        <color theme="9" tint="-0.499984740745262"/>
      </left>
      <right style="medium">
        <color auto="1"/>
      </right>
      <top style="medium">
        <color auto="1"/>
      </top>
      <bottom style="thin">
        <color theme="2" tint="-0.24994659260841701"/>
      </bottom>
      <diagonal/>
    </border>
    <border>
      <left style="medium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/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/>
      <right style="thin">
        <color indexed="64"/>
      </right>
      <top style="thick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5" borderId="1" xfId="0" applyFont="1" applyFill="1" applyBorder="1"/>
    <xf numFmtId="0" fontId="4" fillId="5" borderId="4" xfId="0" applyFont="1" applyFill="1" applyBorder="1"/>
    <xf numFmtId="164" fontId="4" fillId="5" borderId="15" xfId="0" applyNumberFormat="1" applyFont="1" applyFill="1" applyBorder="1" applyAlignment="1">
      <alignment horizontal="center"/>
    </xf>
    <xf numFmtId="10" fontId="4" fillId="5" borderId="15" xfId="0" applyNumberFormat="1" applyFont="1" applyFill="1" applyBorder="1" applyAlignment="1">
      <alignment horizontal="center"/>
    </xf>
    <xf numFmtId="164" fontId="4" fillId="5" borderId="18" xfId="0" applyNumberFormat="1" applyFont="1" applyFill="1" applyBorder="1" applyAlignment="1">
      <alignment horizontal="center"/>
    </xf>
    <xf numFmtId="8" fontId="4" fillId="5" borderId="2" xfId="0" applyNumberFormat="1" applyFont="1" applyFill="1" applyBorder="1"/>
    <xf numFmtId="8" fontId="4" fillId="5" borderId="3" xfId="0" applyNumberFormat="1" applyFont="1" applyFill="1" applyBorder="1"/>
    <xf numFmtId="8" fontId="4" fillId="5" borderId="5" xfId="0" applyNumberFormat="1" applyFont="1" applyFill="1" applyBorder="1"/>
    <xf numFmtId="8" fontId="4" fillId="5" borderId="6" xfId="0" applyNumberFormat="1" applyFont="1" applyFill="1" applyBorder="1"/>
    <xf numFmtId="0" fontId="0" fillId="0" borderId="0" xfId="0" applyAlignment="1">
      <alignment horizontal="center"/>
    </xf>
    <xf numFmtId="0" fontId="8" fillId="2" borderId="9" xfId="0" applyFont="1" applyFill="1" applyBorder="1" applyAlignment="1">
      <alignment horizontal="center"/>
    </xf>
    <xf numFmtId="0" fontId="0" fillId="4" borderId="0" xfId="0" applyFill="1"/>
    <xf numFmtId="0" fontId="1" fillId="6" borderId="0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0" fillId="5" borderId="23" xfId="0" applyFill="1" applyBorder="1"/>
    <xf numFmtId="0" fontId="0" fillId="5" borderId="24" xfId="0" applyFill="1" applyBorder="1"/>
    <xf numFmtId="9" fontId="0" fillId="5" borderId="23" xfId="0" applyNumberFormat="1" applyFill="1" applyBorder="1"/>
    <xf numFmtId="0" fontId="0" fillId="5" borderId="25" xfId="0" applyFill="1" applyBorder="1"/>
    <xf numFmtId="0" fontId="0" fillId="5" borderId="26" xfId="0" applyFill="1" applyBorder="1"/>
    <xf numFmtId="9" fontId="0" fillId="5" borderId="25" xfId="0" applyNumberFormat="1" applyFill="1" applyBorder="1"/>
    <xf numFmtId="0" fontId="0" fillId="7" borderId="25" xfId="0" applyFill="1" applyBorder="1"/>
    <xf numFmtId="0" fontId="0" fillId="7" borderId="26" xfId="0" applyFill="1" applyBorder="1"/>
    <xf numFmtId="9" fontId="0" fillId="7" borderId="25" xfId="0" applyNumberFormat="1" applyFill="1" applyBorder="1"/>
    <xf numFmtId="0" fontId="0" fillId="8" borderId="25" xfId="0" applyFill="1" applyBorder="1"/>
    <xf numFmtId="0" fontId="0" fillId="8" borderId="26" xfId="0" applyFill="1" applyBorder="1"/>
    <xf numFmtId="9" fontId="0" fillId="8" borderId="25" xfId="0" applyNumberFormat="1" applyFill="1" applyBorder="1"/>
    <xf numFmtId="0" fontId="0" fillId="5" borderId="27" xfId="0" applyFill="1" applyBorder="1"/>
    <xf numFmtId="0" fontId="0" fillId="5" borderId="28" xfId="0" applyFill="1" applyBorder="1"/>
    <xf numFmtId="9" fontId="0" fillId="5" borderId="27" xfId="0" applyNumberFormat="1" applyFill="1" applyBorder="1"/>
    <xf numFmtId="0" fontId="0" fillId="7" borderId="29" xfId="0" applyFill="1" applyBorder="1"/>
    <xf numFmtId="0" fontId="0" fillId="7" borderId="30" xfId="0" applyFill="1" applyBorder="1"/>
    <xf numFmtId="9" fontId="0" fillId="7" borderId="29" xfId="0" applyNumberFormat="1" applyFill="1" applyBorder="1"/>
    <xf numFmtId="0" fontId="0" fillId="7" borderId="27" xfId="0" applyFill="1" applyBorder="1"/>
    <xf numFmtId="0" fontId="0" fillId="7" borderId="28" xfId="0" applyFill="1" applyBorder="1"/>
    <xf numFmtId="9" fontId="0" fillId="7" borderId="27" xfId="0" applyNumberFormat="1" applyFill="1" applyBorder="1"/>
    <xf numFmtId="0" fontId="0" fillId="8" borderId="29" xfId="0" applyFill="1" applyBorder="1"/>
    <xf numFmtId="0" fontId="0" fillId="8" borderId="30" xfId="0" applyFill="1" applyBorder="1"/>
    <xf numFmtId="9" fontId="0" fillId="8" borderId="29" xfId="0" applyNumberFormat="1" applyFill="1" applyBorder="1"/>
    <xf numFmtId="0" fontId="0" fillId="8" borderId="27" xfId="0" applyFill="1" applyBorder="1"/>
    <xf numFmtId="0" fontId="0" fillId="8" borderId="28" xfId="0" applyFill="1" applyBorder="1"/>
    <xf numFmtId="9" fontId="0" fillId="8" borderId="27" xfId="0" applyNumberFormat="1" applyFill="1" applyBorder="1"/>
    <xf numFmtId="9" fontId="0" fillId="4" borderId="0" xfId="0" applyNumberFormat="1" applyFill="1"/>
    <xf numFmtId="0" fontId="0" fillId="4" borderId="31" xfId="0" applyFill="1" applyBorder="1"/>
    <xf numFmtId="0" fontId="0" fillId="3" borderId="19" xfId="0" applyFill="1" applyBorder="1"/>
    <xf numFmtId="0" fontId="0" fillId="0" borderId="19" xfId="0" applyFill="1" applyBorder="1"/>
    <xf numFmtId="164" fontId="0" fillId="0" borderId="0" xfId="0" applyNumberFormat="1" applyFill="1" applyBorder="1" applyAlignment="1">
      <alignment horizontal="center"/>
    </xf>
    <xf numFmtId="164" fontId="0" fillId="0" borderId="34" xfId="0" applyNumberForma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3" fillId="0" borderId="34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3" fillId="9" borderId="35" xfId="0" applyNumberFormat="1" applyFon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left"/>
    </xf>
    <xf numFmtId="0" fontId="4" fillId="5" borderId="14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left"/>
    </xf>
    <xf numFmtId="0" fontId="4" fillId="5" borderId="17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4" fillId="0" borderId="39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164" fontId="5" fillId="0" borderId="41" xfId="0" applyNumberFormat="1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165" fontId="5" fillId="0" borderId="41" xfId="0" applyNumberFormat="1" applyFont="1" applyBorder="1" applyAlignment="1">
      <alignment horizontal="center"/>
    </xf>
    <xf numFmtId="0" fontId="5" fillId="3" borderId="39" xfId="0" applyFont="1" applyFill="1" applyBorder="1" applyAlignment="1">
      <alignment horizontal="left"/>
    </xf>
    <xf numFmtId="0" fontId="5" fillId="3" borderId="40" xfId="0" applyFont="1" applyFill="1" applyBorder="1" applyAlignment="1">
      <alignment horizontal="left"/>
    </xf>
    <xf numFmtId="8" fontId="5" fillId="3" borderId="41" xfId="0" applyNumberFormat="1" applyFont="1" applyFill="1" applyBorder="1" applyAlignment="1">
      <alignment horizontal="center"/>
    </xf>
    <xf numFmtId="0" fontId="5" fillId="3" borderId="42" xfId="0" applyFont="1" applyFill="1" applyBorder="1" applyAlignment="1">
      <alignment horizontal="left"/>
    </xf>
    <xf numFmtId="0" fontId="5" fillId="3" borderId="43" xfId="0" applyFont="1" applyFill="1" applyBorder="1" applyAlignment="1">
      <alignment horizontal="left"/>
    </xf>
    <xf numFmtId="164" fontId="5" fillId="3" borderId="4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Planilha1!$C$37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Planilha1!$B$38:$B$44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TOTAL</c:v>
                </c:pt>
              </c:strCache>
            </c:strRef>
          </c:cat>
          <c:val>
            <c:numRef>
              <c:f>Planilha1!$C$38:$C$44</c:f>
              <c:numCache>
                <c:formatCode>0.00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A-4402-BEF6-40CDC4C80B78}"/>
            </c:ext>
          </c:extLst>
        </c:ser>
        <c:ser>
          <c:idx val="1"/>
          <c:order val="1"/>
          <c:tx>
            <c:strRef>
              <c:f>Planilha1!$D$37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Planilha1!$B$38:$B$44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TOTAL</c:v>
                </c:pt>
              </c:strCache>
            </c:strRef>
          </c:cat>
          <c:val>
            <c:numRef>
              <c:f>Planilha1!$D$38:$D$44</c:f>
              <c:numCache>
                <c:formatCode>"R$"\ #,##0.00</c:formatCode>
                <c:ptCount val="7"/>
                <c:pt idx="0">
                  <c:v>60</c:v>
                </c:pt>
                <c:pt idx="1">
                  <c:v>100</c:v>
                </c:pt>
                <c:pt idx="2">
                  <c:v>20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A-4402-BEF6-40CDC4C80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433503"/>
        <c:axId val="2078430591"/>
      </c:barChart>
      <c:catAx>
        <c:axId val="2078433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8430591"/>
        <c:crosses val="autoZero"/>
        <c:auto val="1"/>
        <c:lblAlgn val="ctr"/>
        <c:lblOffset val="100"/>
        <c:noMultiLvlLbl val="0"/>
      </c:catAx>
      <c:valAx>
        <c:axId val="20784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843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180975</xdr:rowOff>
    </xdr:from>
    <xdr:to>
      <xdr:col>4</xdr:col>
      <xdr:colOff>28575</xdr:colOff>
      <xdr:row>8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13B743A-C5EE-4D76-9BB1-DD4480E96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15"/>
        <a:stretch/>
      </xdr:blipFill>
      <xdr:spPr>
        <a:xfrm>
          <a:off x="533400" y="180975"/>
          <a:ext cx="5724525" cy="1457325"/>
        </a:xfrm>
        <a:prstGeom prst="rect">
          <a:avLst/>
        </a:prstGeom>
      </xdr:spPr>
    </xdr:pic>
    <xdr:clientData/>
  </xdr:twoCellAnchor>
  <xdr:twoCellAnchor>
    <xdr:from>
      <xdr:col>1</xdr:col>
      <xdr:colOff>38101</xdr:colOff>
      <xdr:row>45</xdr:row>
      <xdr:rowOff>28575</xdr:rowOff>
    </xdr:from>
    <xdr:to>
      <xdr:col>2</xdr:col>
      <xdr:colOff>1114426</xdr:colOff>
      <xdr:row>56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202D87-B437-43CB-9D49-836910A07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8934-462B-4492-9EBD-C316A2611427}">
  <dimension ref="A11:J44"/>
  <sheetViews>
    <sheetView tabSelected="1" topLeftCell="A27" workbookViewId="0">
      <selection activeCell="G42" sqref="G42"/>
    </sheetView>
  </sheetViews>
  <sheetFormatPr defaultColWidth="0" defaultRowHeight="15" x14ac:dyDescent="0.25"/>
  <cols>
    <col min="1" max="1" width="9.140625" customWidth="1"/>
    <col min="2" max="2" width="39" customWidth="1"/>
    <col min="3" max="3" width="27.42578125" customWidth="1"/>
    <col min="4" max="4" width="17.85546875" customWidth="1"/>
    <col min="5" max="5" width="9.140625" customWidth="1"/>
    <col min="6" max="6" width="15.5703125" customWidth="1"/>
    <col min="7" max="7" width="12.42578125" customWidth="1"/>
    <col min="8" max="10" width="9.140625" customWidth="1"/>
    <col min="11" max="16384" width="9.140625" hidden="1"/>
  </cols>
  <sheetData>
    <row r="11" spans="2:4" ht="15.75" thickBot="1" x14ac:dyDescent="0.3"/>
    <row r="12" spans="2:4" ht="26.25" x14ac:dyDescent="0.4">
      <c r="B12" s="66" t="s">
        <v>12</v>
      </c>
      <c r="C12" s="67"/>
      <c r="D12" s="68"/>
    </row>
    <row r="13" spans="2:4" ht="15.75" x14ac:dyDescent="0.25">
      <c r="B13" s="69" t="s">
        <v>13</v>
      </c>
      <c r="C13" s="70"/>
      <c r="D13" s="5">
        <v>5000</v>
      </c>
    </row>
    <row r="14" spans="2:4" ht="15.75" x14ac:dyDescent="0.25">
      <c r="B14" s="69" t="s">
        <v>14</v>
      </c>
      <c r="C14" s="70"/>
      <c r="D14" s="6">
        <v>6.0000000000000001E-3</v>
      </c>
    </row>
    <row r="15" spans="2:4" ht="16.5" thickBot="1" x14ac:dyDescent="0.3">
      <c r="B15" s="71" t="s">
        <v>29</v>
      </c>
      <c r="C15" s="72"/>
      <c r="D15" s="7">
        <f>salario*30%</f>
        <v>1500</v>
      </c>
    </row>
    <row r="17" spans="1:5" ht="15.75" thickBot="1" x14ac:dyDescent="0.3"/>
    <row r="18" spans="1:5" ht="26.25" x14ac:dyDescent="0.4">
      <c r="B18" s="73" t="s">
        <v>11</v>
      </c>
      <c r="C18" s="74"/>
      <c r="D18" s="75"/>
    </row>
    <row r="19" spans="1:5" ht="15.75" x14ac:dyDescent="0.25">
      <c r="B19" s="76" t="s">
        <v>30</v>
      </c>
      <c r="C19" s="77"/>
      <c r="D19" s="78">
        <v>200</v>
      </c>
    </row>
    <row r="20" spans="1:5" ht="15.75" x14ac:dyDescent="0.25">
      <c r="B20" s="76" t="s">
        <v>0</v>
      </c>
      <c r="C20" s="77"/>
      <c r="D20" s="79">
        <v>14</v>
      </c>
    </row>
    <row r="21" spans="1:5" ht="15.75" x14ac:dyDescent="0.25">
      <c r="B21" s="76" t="s">
        <v>1</v>
      </c>
      <c r="C21" s="77"/>
      <c r="D21" s="80">
        <v>1.0789999999999999E-2</v>
      </c>
    </row>
    <row r="22" spans="1:5" ht="15.75" x14ac:dyDescent="0.25">
      <c r="B22" s="81" t="s">
        <v>3</v>
      </c>
      <c r="C22" s="82"/>
      <c r="D22" s="83">
        <f>FV(taxa_mensal,qtd_anos*12,aporte*-1)</f>
        <v>93936.706255336976</v>
      </c>
    </row>
    <row r="23" spans="1:5" ht="16.5" thickBot="1" x14ac:dyDescent="0.3">
      <c r="B23" s="84" t="s">
        <v>2</v>
      </c>
      <c r="C23" s="85"/>
      <c r="D23" s="86">
        <f>patrimonio*rendimento_carteira</f>
        <v>563.62023753202186</v>
      </c>
    </row>
    <row r="25" spans="1:5" ht="15.75" thickBot="1" x14ac:dyDescent="0.3"/>
    <row r="26" spans="1:5" ht="26.25" x14ac:dyDescent="0.4">
      <c r="B26" s="64" t="s">
        <v>10</v>
      </c>
      <c r="C26" s="65"/>
      <c r="D26" s="13" t="s">
        <v>9</v>
      </c>
    </row>
    <row r="27" spans="1:5" ht="17.25" x14ac:dyDescent="0.3">
      <c r="A27" s="1">
        <v>2</v>
      </c>
      <c r="B27" s="3" t="s">
        <v>4</v>
      </c>
      <c r="C27" s="8">
        <f>FV($D$21,$A27*12,$D$19*-1)</f>
        <v>5445.5254595290435</v>
      </c>
      <c r="D27" s="9">
        <f>C27*rendimento_carteira</f>
        <v>32.673152757174265</v>
      </c>
      <c r="E27" s="2"/>
    </row>
    <row r="28" spans="1:5" ht="17.25" x14ac:dyDescent="0.3">
      <c r="A28" s="1">
        <v>5</v>
      </c>
      <c r="B28" s="3" t="s">
        <v>5</v>
      </c>
      <c r="C28" s="8">
        <f>FV($D$21,$A28*12,$D$19*-1)</f>
        <v>16755.382799697527</v>
      </c>
      <c r="D28" s="9">
        <f>C28*rendimento_carteira</f>
        <v>100.53229679818516</v>
      </c>
      <c r="E28" s="2"/>
    </row>
    <row r="29" spans="1:5" ht="17.25" x14ac:dyDescent="0.3">
      <c r="A29" s="1">
        <v>10</v>
      </c>
      <c r="B29" s="3" t="s">
        <v>6</v>
      </c>
      <c r="C29" s="8">
        <f>FV($D$21,$A29*12,$D$19*-1)</f>
        <v>48656.842506034438</v>
      </c>
      <c r="D29" s="9">
        <f>C29*rendimento_carteira</f>
        <v>291.94105503620665</v>
      </c>
      <c r="E29" s="2"/>
    </row>
    <row r="30" spans="1:5" ht="17.25" x14ac:dyDescent="0.3">
      <c r="A30" s="1">
        <v>20</v>
      </c>
      <c r="B30" s="3" t="s">
        <v>7</v>
      </c>
      <c r="C30" s="8">
        <f>FV($D$21,$A30*12,$D$19*-1)</f>
        <v>225039.68001941612</v>
      </c>
      <c r="D30" s="9">
        <f>C30*rendimento_carteira</f>
        <v>1350.2380801164968</v>
      </c>
      <c r="E30" s="2"/>
    </row>
    <row r="31" spans="1:5" ht="18" thickBot="1" x14ac:dyDescent="0.35">
      <c r="A31" s="1">
        <v>30</v>
      </c>
      <c r="B31" s="4" t="s">
        <v>8</v>
      </c>
      <c r="C31" s="10">
        <f>FV($D$21,$A31*12,$D$19*-1)</f>
        <v>864433.93100094295</v>
      </c>
      <c r="D31" s="11">
        <f>C31*rendimento_carteira</f>
        <v>5186.6035860056581</v>
      </c>
      <c r="E31" s="2"/>
    </row>
    <row r="32" spans="1:5" ht="17.25" x14ac:dyDescent="0.3">
      <c r="B32" s="2"/>
      <c r="C32" s="2"/>
      <c r="D32" s="2"/>
      <c r="E32" s="2"/>
    </row>
    <row r="33" spans="2:5" ht="15.75" thickBot="1" x14ac:dyDescent="0.3"/>
    <row r="34" spans="2:5" x14ac:dyDescent="0.25">
      <c r="B34" s="46" t="s">
        <v>15</v>
      </c>
      <c r="C34" s="60" t="s">
        <v>26</v>
      </c>
      <c r="D34" s="61"/>
    </row>
    <row r="35" spans="2:5" x14ac:dyDescent="0.25">
      <c r="B35" s="47" t="s">
        <v>16</v>
      </c>
      <c r="C35" s="62">
        <f>aporte</f>
        <v>200</v>
      </c>
      <c r="D35" s="63"/>
    </row>
    <row r="36" spans="2:5" x14ac:dyDescent="0.25">
      <c r="B36" s="48"/>
      <c r="C36" s="49"/>
      <c r="D36" s="50"/>
    </row>
    <row r="37" spans="2:5" x14ac:dyDescent="0.25">
      <c r="B37" s="51" t="s">
        <v>23</v>
      </c>
      <c r="C37" s="52" t="s">
        <v>24</v>
      </c>
      <c r="D37" s="53" t="s">
        <v>25</v>
      </c>
      <c r="E37" t="s">
        <v>53</v>
      </c>
    </row>
    <row r="38" spans="2:5" x14ac:dyDescent="0.25">
      <c r="B38" s="54" t="s">
        <v>17</v>
      </c>
      <c r="C38" s="57">
        <f>VLOOKUP($C$34&amp;"-"&amp;$B38,Planilha2!$B:$E,4,FALSE)</f>
        <v>0.3</v>
      </c>
      <c r="D38" s="55">
        <f>C38*$C$35</f>
        <v>60</v>
      </c>
    </row>
    <row r="39" spans="2:5" x14ac:dyDescent="0.25">
      <c r="B39" s="54" t="s">
        <v>18</v>
      </c>
      <c r="C39" s="57">
        <f>VLOOKUP($C$34&amp;"-"&amp;$B39,Planilha2!$B:$E,4,FALSE)</f>
        <v>0.5</v>
      </c>
      <c r="D39" s="55">
        <f t="shared" ref="D39:D43" si="0">C39*$C$35</f>
        <v>100</v>
      </c>
    </row>
    <row r="40" spans="2:5" x14ac:dyDescent="0.25">
      <c r="B40" s="54" t="s">
        <v>19</v>
      </c>
      <c r="C40" s="57">
        <f>VLOOKUP($C$34&amp;"-"&amp;$B40,Planilha2!$B:$E,4,FALSE)</f>
        <v>0.1</v>
      </c>
      <c r="D40" s="55">
        <f t="shared" si="0"/>
        <v>20</v>
      </c>
    </row>
    <row r="41" spans="2:5" x14ac:dyDescent="0.25">
      <c r="B41" s="54" t="s">
        <v>20</v>
      </c>
      <c r="C41" s="57">
        <f>VLOOKUP($C$34&amp;"-"&amp;$B41,Planilha2!$B:$E,4,FALSE)</f>
        <v>0.1</v>
      </c>
      <c r="D41" s="55">
        <f t="shared" si="0"/>
        <v>20</v>
      </c>
    </row>
    <row r="42" spans="2:5" x14ac:dyDescent="0.25">
      <c r="B42" s="54" t="s">
        <v>21</v>
      </c>
      <c r="C42" s="57">
        <f>VLOOKUP($C$34&amp;"-"&amp;$B42,Planilha2!$B:$E,4,FALSE)</f>
        <v>0</v>
      </c>
      <c r="D42" s="55">
        <f t="shared" si="0"/>
        <v>0</v>
      </c>
    </row>
    <row r="43" spans="2:5" x14ac:dyDescent="0.25">
      <c r="B43" s="54" t="s">
        <v>22</v>
      </c>
      <c r="C43" s="57">
        <f>VLOOKUP($C$34&amp;"-"&amp;$B43,Planilha2!$B:$E,4,FALSE)</f>
        <v>0</v>
      </c>
      <c r="D43" s="55">
        <f t="shared" si="0"/>
        <v>0</v>
      </c>
    </row>
    <row r="44" spans="2:5" ht="15.75" thickBot="1" x14ac:dyDescent="0.3">
      <c r="B44" s="58" t="s">
        <v>52</v>
      </c>
      <c r="C44" s="59"/>
      <c r="D44" s="56">
        <f>SUM(D38:D43)</f>
        <v>200</v>
      </c>
    </row>
  </sheetData>
  <mergeCells count="14">
    <mergeCell ref="B44:C44"/>
    <mergeCell ref="C34:D34"/>
    <mergeCell ref="C35:D35"/>
    <mergeCell ref="B26:C26"/>
    <mergeCell ref="B12:D12"/>
    <mergeCell ref="B13:C13"/>
    <mergeCell ref="B14:C14"/>
    <mergeCell ref="B15:C15"/>
    <mergeCell ref="B19:C19"/>
    <mergeCell ref="B20:C20"/>
    <mergeCell ref="B21:C21"/>
    <mergeCell ref="B22:C22"/>
    <mergeCell ref="B23:C23"/>
    <mergeCell ref="B18:D18"/>
  </mergeCells>
  <dataValidations count="1">
    <dataValidation type="list" allowBlank="1" showInputMessage="1" showErrorMessage="1" sqref="C34:D34" xr:uid="{7C12F685-44DE-49F8-8077-69659AD6E35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E9B2-4B44-469A-82F6-E0603F7537C0}">
  <dimension ref="B2:J20"/>
  <sheetViews>
    <sheetView topLeftCell="B1" workbookViewId="0">
      <selection activeCell="E29" sqref="E29"/>
    </sheetView>
  </sheetViews>
  <sheetFormatPr defaultRowHeight="15" x14ac:dyDescent="0.25"/>
  <cols>
    <col min="2" max="2" width="29.140625" bestFit="1" customWidth="1"/>
    <col min="3" max="3" width="12.140625" bestFit="1" customWidth="1"/>
    <col min="4" max="4" width="16.85546875" bestFit="1" customWidth="1"/>
    <col min="9" max="9" width="18.140625" bestFit="1" customWidth="1"/>
  </cols>
  <sheetData>
    <row r="2" spans="2:10" x14ac:dyDescent="0.25">
      <c r="B2" s="15" t="s">
        <v>31</v>
      </c>
      <c r="C2" s="15" t="s">
        <v>15</v>
      </c>
      <c r="D2" s="16" t="s">
        <v>23</v>
      </c>
      <c r="E2" s="17" t="s">
        <v>32</v>
      </c>
    </row>
    <row r="3" spans="2:10" ht="15.75" thickBot="1" x14ac:dyDescent="0.3">
      <c r="B3" s="18" t="s">
        <v>33</v>
      </c>
      <c r="C3" s="19" t="s">
        <v>26</v>
      </c>
      <c r="D3" s="19" t="s">
        <v>17</v>
      </c>
      <c r="E3" s="20">
        <v>0.3</v>
      </c>
      <c r="I3" t="s">
        <v>45</v>
      </c>
      <c r="J3" s="12" t="s">
        <v>32</v>
      </c>
    </row>
    <row r="4" spans="2:10" ht="16.5" thickTop="1" thickBot="1" x14ac:dyDescent="0.3">
      <c r="B4" s="21" t="s">
        <v>40</v>
      </c>
      <c r="C4" s="22" t="s">
        <v>26</v>
      </c>
      <c r="D4" s="22" t="s">
        <v>18</v>
      </c>
      <c r="E4" s="23">
        <v>0.5</v>
      </c>
      <c r="I4" s="14" t="s">
        <v>40</v>
      </c>
      <c r="J4" s="45">
        <f>VLOOKUP(I4,B:E,4,FALSE)</f>
        <v>0.5</v>
      </c>
    </row>
    <row r="5" spans="2:10" ht="16.5" thickTop="1" thickBot="1" x14ac:dyDescent="0.3">
      <c r="B5" s="21" t="s">
        <v>41</v>
      </c>
      <c r="C5" s="22" t="s">
        <v>26</v>
      </c>
      <c r="D5" s="22" t="s">
        <v>19</v>
      </c>
      <c r="E5" s="23">
        <v>0.1</v>
      </c>
    </row>
    <row r="6" spans="2:10" ht="16.5" thickTop="1" thickBot="1" x14ac:dyDescent="0.3">
      <c r="B6" s="21" t="s">
        <v>42</v>
      </c>
      <c r="C6" s="22" t="s">
        <v>26</v>
      </c>
      <c r="D6" s="22" t="s">
        <v>20</v>
      </c>
      <c r="E6" s="23">
        <v>0.1</v>
      </c>
    </row>
    <row r="7" spans="2:10" ht="16.5" thickTop="1" thickBot="1" x14ac:dyDescent="0.3">
      <c r="B7" s="21" t="s">
        <v>43</v>
      </c>
      <c r="C7" s="22" t="s">
        <v>26</v>
      </c>
      <c r="D7" s="22" t="s">
        <v>21</v>
      </c>
      <c r="E7" s="23">
        <v>0</v>
      </c>
    </row>
    <row r="8" spans="2:10" ht="16.5" thickTop="1" thickBot="1" x14ac:dyDescent="0.3">
      <c r="B8" s="30" t="s">
        <v>44</v>
      </c>
      <c r="C8" s="31" t="s">
        <v>26</v>
      </c>
      <c r="D8" s="31" t="s">
        <v>22</v>
      </c>
      <c r="E8" s="32">
        <v>0</v>
      </c>
    </row>
    <row r="9" spans="2:10" ht="15.75" thickBot="1" x14ac:dyDescent="0.3">
      <c r="B9" s="33" t="s">
        <v>34</v>
      </c>
      <c r="C9" s="34" t="s">
        <v>27</v>
      </c>
      <c r="D9" s="34" t="s">
        <v>17</v>
      </c>
      <c r="E9" s="35">
        <v>0.3</v>
      </c>
    </row>
    <row r="10" spans="2:10" ht="16.5" thickTop="1" thickBot="1" x14ac:dyDescent="0.3">
      <c r="B10" s="24" t="s">
        <v>35</v>
      </c>
      <c r="C10" s="25" t="s">
        <v>27</v>
      </c>
      <c r="D10" s="25" t="s">
        <v>18</v>
      </c>
      <c r="E10" s="26">
        <v>0.4</v>
      </c>
    </row>
    <row r="11" spans="2:10" ht="16.5" thickTop="1" thickBot="1" x14ac:dyDescent="0.3">
      <c r="B11" s="24" t="s">
        <v>36</v>
      </c>
      <c r="C11" s="25" t="s">
        <v>27</v>
      </c>
      <c r="D11" s="25" t="s">
        <v>19</v>
      </c>
      <c r="E11" s="26">
        <v>0.05</v>
      </c>
    </row>
    <row r="12" spans="2:10" ht="16.5" thickTop="1" thickBot="1" x14ac:dyDescent="0.3">
      <c r="B12" s="24" t="s">
        <v>37</v>
      </c>
      <c r="C12" s="25" t="s">
        <v>27</v>
      </c>
      <c r="D12" s="25" t="s">
        <v>20</v>
      </c>
      <c r="E12" s="26">
        <v>0.1</v>
      </c>
    </row>
    <row r="13" spans="2:10" ht="16.5" thickTop="1" thickBot="1" x14ac:dyDescent="0.3">
      <c r="B13" s="24" t="s">
        <v>38</v>
      </c>
      <c r="C13" s="25" t="s">
        <v>27</v>
      </c>
      <c r="D13" s="25" t="s">
        <v>21</v>
      </c>
      <c r="E13" s="26">
        <v>0.1</v>
      </c>
    </row>
    <row r="14" spans="2:10" ht="16.5" thickTop="1" thickBot="1" x14ac:dyDescent="0.3">
      <c r="B14" s="36" t="s">
        <v>39</v>
      </c>
      <c r="C14" s="37" t="s">
        <v>27</v>
      </c>
      <c r="D14" s="37" t="s">
        <v>22</v>
      </c>
      <c r="E14" s="38">
        <v>0.05</v>
      </c>
    </row>
    <row r="15" spans="2:10" ht="15.75" thickBot="1" x14ac:dyDescent="0.3">
      <c r="B15" s="39" t="s">
        <v>46</v>
      </c>
      <c r="C15" s="40" t="s">
        <v>28</v>
      </c>
      <c r="D15" s="40" t="s">
        <v>17</v>
      </c>
      <c r="E15" s="41">
        <v>0.5</v>
      </c>
    </row>
    <row r="16" spans="2:10" ht="16.5" thickTop="1" thickBot="1" x14ac:dyDescent="0.3">
      <c r="B16" s="27" t="s">
        <v>47</v>
      </c>
      <c r="C16" s="28" t="s">
        <v>28</v>
      </c>
      <c r="D16" s="28" t="s">
        <v>18</v>
      </c>
      <c r="E16" s="29">
        <v>0.1</v>
      </c>
    </row>
    <row r="17" spans="2:5" ht="16.5" thickTop="1" thickBot="1" x14ac:dyDescent="0.3">
      <c r="B17" s="27" t="s">
        <v>48</v>
      </c>
      <c r="C17" s="28" t="s">
        <v>28</v>
      </c>
      <c r="D17" s="28" t="s">
        <v>19</v>
      </c>
      <c r="E17" s="29">
        <v>0.05</v>
      </c>
    </row>
    <row r="18" spans="2:5" ht="16.5" thickTop="1" thickBot="1" x14ac:dyDescent="0.3">
      <c r="B18" s="27" t="s">
        <v>49</v>
      </c>
      <c r="C18" s="28" t="s">
        <v>28</v>
      </c>
      <c r="D18" s="28" t="s">
        <v>20</v>
      </c>
      <c r="E18" s="29">
        <v>0.05</v>
      </c>
    </row>
    <row r="19" spans="2:5" ht="16.5" thickTop="1" thickBot="1" x14ac:dyDescent="0.3">
      <c r="B19" s="27" t="s">
        <v>50</v>
      </c>
      <c r="C19" s="28" t="s">
        <v>28</v>
      </c>
      <c r="D19" s="28" t="s">
        <v>21</v>
      </c>
      <c r="E19" s="29">
        <v>0.2</v>
      </c>
    </row>
    <row r="20" spans="2:5" ht="16.5" thickTop="1" thickBot="1" x14ac:dyDescent="0.3">
      <c r="B20" s="42" t="s">
        <v>51</v>
      </c>
      <c r="C20" s="43" t="s">
        <v>28</v>
      </c>
      <c r="D20" s="43" t="s">
        <v>22</v>
      </c>
      <c r="E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Rodrigues</dc:creator>
  <cp:lastModifiedBy>Dennis Rodrigues</cp:lastModifiedBy>
  <dcterms:created xsi:type="dcterms:W3CDTF">2026-05-21T02:33:28Z</dcterms:created>
  <dcterms:modified xsi:type="dcterms:W3CDTF">2026-06-21T13:58:55Z</dcterms:modified>
</cp:coreProperties>
</file>